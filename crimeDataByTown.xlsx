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ulmer\Documents\Arkansas Stuff\"/>
    </mc:Choice>
  </mc:AlternateContent>
  <xr:revisionPtr revIDLastSave="0" documentId="8_{713EFC21-B379-41CE-A85A-8FDA37B8A664}" xr6:coauthVersionLast="47" xr6:coauthVersionMax="47" xr10:uidLastSave="{00000000-0000-0000-0000-000000000000}"/>
  <bookViews>
    <workbookView xWindow="-7620" yWindow="-16335" windowWidth="29040" windowHeight="15720" xr2:uid="{FC5F03BA-D186-4C80-AEF9-88BD9F4CD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5" i="1"/>
  <c r="K6" i="1"/>
  <c r="K7" i="1"/>
  <c r="K4" i="1"/>
  <c r="K3" i="1"/>
</calcChain>
</file>

<file path=xl/sharedStrings.xml><?xml version="1.0" encoding="utf-8"?>
<sst xmlns="http://schemas.openxmlformats.org/spreadsheetml/2006/main" count="21" uniqueCount="21">
  <si>
    <t>City</t>
  </si>
  <si>
    <t>Bentonville</t>
  </si>
  <si>
    <t>Rogers</t>
  </si>
  <si>
    <t>Fayetteville</t>
  </si>
  <si>
    <t>Fort Smith</t>
  </si>
  <si>
    <t>Conway</t>
  </si>
  <si>
    <t>Pop</t>
  </si>
  <si>
    <t>Murder</t>
  </si>
  <si>
    <t>Neg Manslaughter</t>
  </si>
  <si>
    <t>Kidnapping</t>
  </si>
  <si>
    <t>Rape</t>
  </si>
  <si>
    <t>Assault</t>
  </si>
  <si>
    <t>Agr. Assault</t>
  </si>
  <si>
    <t>Human Track</t>
  </si>
  <si>
    <t>Total</t>
  </si>
  <si>
    <t>Sex Assault</t>
  </si>
  <si>
    <t>Crimes Against Persons</t>
  </si>
  <si>
    <t>Little Rock</t>
  </si>
  <si>
    <t>COS</t>
  </si>
  <si>
    <t>AR</t>
  </si>
  <si>
    <t>Sheridan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</si>
</sst>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8B8F-970F-445A-A3A7-F0933A2E47AB}">
  <dimension ref="A1:K13"/>
  <sheetViews>
    <sheetView tabSelected="1" workbookViewId="0">
      <selection activeCell="K9" sqref="K9"/>
    </sheetView>
  </sheetViews>
  <sheetFormatPr defaultRowHeight="15" x14ac:dyDescent="0.25"/>
  <cols>
    <col min="1" max="1" width="10.7109375" bestFit="1" customWidth="1"/>
    <col min="2" max="2" width="16.140625" customWidth="1"/>
    <col min="4" max="4" width="17.28515625" bestFit="1" customWidth="1"/>
    <col min="5" max="5" width="11.140625" bestFit="1" customWidth="1"/>
    <col min="7" max="7" width="10.85546875" bestFit="1" customWidth="1"/>
    <col min="8" max="8" width="11.42578125" bestFit="1" customWidth="1"/>
    <col min="10" max="10" width="12.7109375" bestFit="1" customWidth="1"/>
    <col min="13" max="13" width="11.7109375" bestFit="1" customWidth="1"/>
  </cols>
  <sheetData>
    <row r="1" spans="1:11" x14ac:dyDescent="0.25">
      <c r="C1" s="2" t="s">
        <v>16</v>
      </c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0</v>
      </c>
      <c r="B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15</v>
      </c>
      <c r="H2" s="3" t="s">
        <v>12</v>
      </c>
      <c r="I2" s="3" t="s">
        <v>11</v>
      </c>
      <c r="J2" s="3" t="s">
        <v>13</v>
      </c>
      <c r="K2" s="3" t="s">
        <v>14</v>
      </c>
    </row>
    <row r="3" spans="1:11" x14ac:dyDescent="0.25">
      <c r="A3" t="s">
        <v>1</v>
      </c>
      <c r="B3" s="1">
        <v>61109</v>
      </c>
      <c r="C3">
        <v>3</v>
      </c>
      <c r="D3">
        <v>0</v>
      </c>
      <c r="E3">
        <v>16</v>
      </c>
      <c r="F3">
        <v>18</v>
      </c>
      <c r="G3">
        <v>4</v>
      </c>
      <c r="H3">
        <v>129</v>
      </c>
      <c r="I3">
        <v>225</v>
      </c>
      <c r="J3">
        <v>0</v>
      </c>
      <c r="K3">
        <f>SUM(C3:J3)</f>
        <v>395</v>
      </c>
    </row>
    <row r="4" spans="1:11" x14ac:dyDescent="0.25">
      <c r="A4" t="s">
        <v>2</v>
      </c>
      <c r="B4" s="1">
        <v>75307</v>
      </c>
      <c r="C4">
        <v>1</v>
      </c>
      <c r="D4">
        <v>1</v>
      </c>
      <c r="E4">
        <v>17</v>
      </c>
      <c r="F4">
        <v>68</v>
      </c>
      <c r="G4">
        <v>3</v>
      </c>
      <c r="H4">
        <v>168</v>
      </c>
      <c r="I4">
        <v>281</v>
      </c>
      <c r="J4">
        <v>0</v>
      </c>
      <c r="K4">
        <f>SUM(C4:J4)</f>
        <v>539</v>
      </c>
    </row>
    <row r="5" spans="1:11" x14ac:dyDescent="0.25">
      <c r="A5" t="s">
        <v>3</v>
      </c>
      <c r="B5" s="1">
        <v>104089</v>
      </c>
      <c r="C5">
        <v>8</v>
      </c>
      <c r="D5">
        <v>0</v>
      </c>
      <c r="E5">
        <v>32</v>
      </c>
      <c r="F5">
        <v>49</v>
      </c>
      <c r="G5">
        <v>0</v>
      </c>
      <c r="H5">
        <v>350</v>
      </c>
      <c r="I5">
        <v>809</v>
      </c>
      <c r="J5">
        <v>0</v>
      </c>
      <c r="K5">
        <f>SUM(C5:J5)</f>
        <v>1248</v>
      </c>
    </row>
    <row r="6" spans="1:11" x14ac:dyDescent="0.25">
      <c r="A6" t="s">
        <v>4</v>
      </c>
      <c r="B6" s="1">
        <v>89977</v>
      </c>
      <c r="C6">
        <v>0</v>
      </c>
      <c r="D6">
        <v>1</v>
      </c>
      <c r="E6">
        <v>33</v>
      </c>
      <c r="F6">
        <v>76</v>
      </c>
      <c r="G6">
        <v>0</v>
      </c>
      <c r="H6">
        <v>620</v>
      </c>
      <c r="I6">
        <v>1235</v>
      </c>
      <c r="J6">
        <v>0</v>
      </c>
      <c r="K6">
        <f>SUM(C6:J6)</f>
        <v>1965</v>
      </c>
    </row>
    <row r="7" spans="1:11" x14ac:dyDescent="0.25">
      <c r="A7" t="s">
        <v>5</v>
      </c>
      <c r="B7" s="1">
        <v>71417</v>
      </c>
      <c r="C7">
        <v>3</v>
      </c>
      <c r="D7">
        <v>0</v>
      </c>
      <c r="E7">
        <v>17</v>
      </c>
      <c r="F7">
        <v>16</v>
      </c>
      <c r="G7">
        <v>2</v>
      </c>
      <c r="H7">
        <v>315</v>
      </c>
      <c r="I7">
        <v>666</v>
      </c>
      <c r="J7">
        <v>1</v>
      </c>
      <c r="K7">
        <f>SUM(C7:J7)</f>
        <v>1020</v>
      </c>
    </row>
    <row r="8" spans="1:11" x14ac:dyDescent="0.25">
      <c r="A8" t="s">
        <v>17</v>
      </c>
      <c r="B8" s="1">
        <v>204247</v>
      </c>
      <c r="C8">
        <v>36</v>
      </c>
      <c r="D8">
        <v>1</v>
      </c>
      <c r="E8">
        <v>90</v>
      </c>
      <c r="F8">
        <v>190</v>
      </c>
      <c r="G8">
        <v>4</v>
      </c>
      <c r="H8">
        <v>2725</v>
      </c>
      <c r="I8">
        <v>5318</v>
      </c>
      <c r="J8">
        <v>1</v>
      </c>
      <c r="K8">
        <f>SUM(C8:J8)</f>
        <v>8365</v>
      </c>
    </row>
    <row r="9" spans="1:11" x14ac:dyDescent="0.25">
      <c r="A9" t="s">
        <v>20</v>
      </c>
      <c r="B9" s="1">
        <v>5268</v>
      </c>
      <c r="C9">
        <v>0</v>
      </c>
      <c r="D9">
        <v>0</v>
      </c>
      <c r="E9">
        <v>0</v>
      </c>
      <c r="F9">
        <v>2</v>
      </c>
      <c r="G9">
        <v>0</v>
      </c>
      <c r="H9">
        <v>22</v>
      </c>
      <c r="I9">
        <v>48</v>
      </c>
      <c r="J9">
        <v>0</v>
      </c>
      <c r="K9">
        <f>SUM(C9:J9)</f>
        <v>72</v>
      </c>
    </row>
    <row r="11" spans="1:11" x14ac:dyDescent="0.25">
      <c r="A11" t="s">
        <v>19</v>
      </c>
      <c r="B11" s="1">
        <v>3027032</v>
      </c>
      <c r="C11">
        <v>223</v>
      </c>
      <c r="D11">
        <v>20</v>
      </c>
      <c r="E11">
        <v>722</v>
      </c>
      <c r="F11">
        <v>1468</v>
      </c>
      <c r="G11">
        <v>74</v>
      </c>
      <c r="H11">
        <v>14252</v>
      </c>
      <c r="I11">
        <v>25374</v>
      </c>
    </row>
    <row r="13" spans="1:11" x14ac:dyDescent="0.25">
      <c r="A13" t="s">
        <v>18</v>
      </c>
      <c r="B13" s="1">
        <v>500000</v>
      </c>
      <c r="C13">
        <v>263</v>
      </c>
      <c r="D13">
        <v>77</v>
      </c>
      <c r="E13">
        <v>3569</v>
      </c>
      <c r="F13">
        <v>3836</v>
      </c>
      <c r="G13">
        <v>936</v>
      </c>
      <c r="H13">
        <v>16961</v>
      </c>
      <c r="I13">
        <v>22468</v>
      </c>
    </row>
  </sheetData>
  <mergeCells count="1">
    <mergeCell ref="C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8c862-3216-46df-8fdb-78f0de173f53}" enabled="1" method="Privileged" siteId="{7f5b8731-2dc2-4c09-82f4-89a5fc054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Fulmer</dc:creator>
  <cp:lastModifiedBy>Lucas Fulmer</cp:lastModifiedBy>
  <dcterms:created xsi:type="dcterms:W3CDTF">2025-09-26T22:47:11Z</dcterms:created>
  <dcterms:modified xsi:type="dcterms:W3CDTF">2025-10-21T18:48:08Z</dcterms:modified>
</cp:coreProperties>
</file>