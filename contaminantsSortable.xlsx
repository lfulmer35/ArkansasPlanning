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fulmer\repos\planning\"/>
    </mc:Choice>
  </mc:AlternateContent>
  <xr:revisionPtr revIDLastSave="0" documentId="8_{03DD4449-D575-4891-8EF2-DF11E6151758}" xr6:coauthVersionLast="47" xr6:coauthVersionMax="47" xr10:uidLastSave="{00000000-0000-0000-0000-000000000000}"/>
  <bookViews>
    <workbookView xWindow="21180" yWindow="-16320" windowWidth="29040" windowHeight="15720" xr2:uid="{12F4FB9E-74FF-4D65-85C2-6F3C821559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6" i="1"/>
  <c r="G7" i="1"/>
  <c r="G4" i="1"/>
  <c r="G12" i="1"/>
  <c r="G5" i="1"/>
  <c r="G9" i="1"/>
  <c r="G11" i="1"/>
  <c r="G15" i="1"/>
  <c r="G3" i="1"/>
  <c r="G10" i="1"/>
  <c r="G13" i="1"/>
  <c r="G2" i="1"/>
  <c r="G14" i="1"/>
</calcChain>
</file>

<file path=xl/sharedStrings.xml><?xml version="1.0" encoding="utf-8"?>
<sst xmlns="http://schemas.openxmlformats.org/spreadsheetml/2006/main" count="58" uniqueCount="38">
  <si>
    <t>Benton</t>
  </si>
  <si>
    <t>Bentonville</t>
  </si>
  <si>
    <t>&lt; 2,000</t>
  </si>
  <si>
    <t>&lt; 4,000</t>
  </si>
  <si>
    <t>Crawford</t>
  </si>
  <si>
    <t>Van Buren</t>
  </si>
  <si>
    <t>Few</t>
  </si>
  <si>
    <t>Faulkner</t>
  </si>
  <si>
    <t>Conway, Greenbriar, Vilonia</t>
  </si>
  <si>
    <t>Garland</t>
  </si>
  <si>
    <t>Hot Springs</t>
  </si>
  <si>
    <t>Logan</t>
  </si>
  <si>
    <t>New Blaine</t>
  </si>
  <si>
    <t>Lonoke</t>
  </si>
  <si>
    <t>Cabot</t>
  </si>
  <si>
    <t>None</t>
  </si>
  <si>
    <t>Madison</t>
  </si>
  <si>
    <t>Huntsville</t>
  </si>
  <si>
    <t>Perry</t>
  </si>
  <si>
    <t>Perryville, Bigelow</t>
  </si>
  <si>
    <t>Pope</t>
  </si>
  <si>
    <t>Russellville</t>
  </si>
  <si>
    <t>Pulaski</t>
  </si>
  <si>
    <t>Little Rock</t>
  </si>
  <si>
    <t>Saline</t>
  </si>
  <si>
    <t>Scott</t>
  </si>
  <si>
    <t>Waldron</t>
  </si>
  <si>
    <t>Sebastian</t>
  </si>
  <si>
    <t>Fort Smith</t>
  </si>
  <si>
    <t>Washington</t>
  </si>
  <si>
    <t>Fayetteville</t>
  </si>
  <si>
    <t>County</t>
  </si>
  <si>
    <t>Example Town</t>
  </si>
  <si>
    <t>Pesticide Crops</t>
  </si>
  <si>
    <t>Chickens</t>
  </si>
  <si>
    <t>Hogs</t>
  </si>
  <si>
    <t>Dairy</t>
  </si>
  <si>
    <t>Total Contaminants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</si>
</sst>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3" fontId="1" fillId="2" borderId="1" xfId="0" applyNumberFormat="1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3" fontId="1" fillId="3" borderId="1" xfId="0" applyNumberFormat="1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A1530-CD47-4561-84F5-DFCBA0F6C8A4}">
  <dimension ref="A1:G15"/>
  <sheetViews>
    <sheetView tabSelected="1" workbookViewId="0">
      <selection activeCell="I12" sqref="I12"/>
    </sheetView>
  </sheetViews>
  <sheetFormatPr defaultRowHeight="15" x14ac:dyDescent="0.25"/>
  <cols>
    <col min="1" max="1" width="15" customWidth="1"/>
    <col min="2" max="2" width="33" customWidth="1"/>
    <col min="3" max="3" width="18" customWidth="1"/>
    <col min="4" max="4" width="21.42578125" customWidth="1"/>
    <col min="5" max="5" width="13.140625" customWidth="1"/>
    <col min="6" max="6" width="16" customWidth="1"/>
    <col min="7" max="7" width="18.5703125" customWidth="1"/>
  </cols>
  <sheetData>
    <row r="1" spans="1:7" ht="35.25" thickBot="1" x14ac:dyDescent="0.3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6" t="s">
        <v>37</v>
      </c>
    </row>
    <row r="2" spans="1:7" ht="18" thickBot="1" x14ac:dyDescent="0.3">
      <c r="A2" s="1" t="s">
        <v>24</v>
      </c>
      <c r="B2" s="1" t="s">
        <v>0</v>
      </c>
      <c r="C2" s="1" t="s">
        <v>6</v>
      </c>
      <c r="D2" s="1" t="s">
        <v>6</v>
      </c>
      <c r="E2" s="1">
        <v>123</v>
      </c>
      <c r="F2" s="1" t="s">
        <v>6</v>
      </c>
      <c r="G2" s="4">
        <f>SUM(C2,D2,E2)</f>
        <v>123</v>
      </c>
    </row>
    <row r="3" spans="1:7" ht="18" thickBot="1" x14ac:dyDescent="0.3">
      <c r="A3" s="3" t="s">
        <v>9</v>
      </c>
      <c r="B3" s="3" t="s">
        <v>10</v>
      </c>
      <c r="C3" s="3" t="s">
        <v>3</v>
      </c>
      <c r="D3" s="4">
        <v>5309</v>
      </c>
      <c r="E3" s="3" t="s">
        <v>6</v>
      </c>
      <c r="F3" s="3" t="s">
        <v>6</v>
      </c>
      <c r="G3" s="4">
        <f>SUM(C3,D3,E3)</f>
        <v>5309</v>
      </c>
    </row>
    <row r="4" spans="1:7" ht="18" thickBot="1" x14ac:dyDescent="0.3">
      <c r="A4" s="1" t="s">
        <v>7</v>
      </c>
      <c r="B4" s="1" t="s">
        <v>8</v>
      </c>
      <c r="C4" s="2">
        <v>7377</v>
      </c>
      <c r="D4" s="1">
        <v>166</v>
      </c>
      <c r="E4" s="1" t="s">
        <v>6</v>
      </c>
      <c r="F4" s="2">
        <v>1334</v>
      </c>
      <c r="G4" s="4">
        <f>SUM(C4,D4,E4)</f>
        <v>7543</v>
      </c>
    </row>
    <row r="5" spans="1:7" ht="18" thickBot="1" x14ac:dyDescent="0.3">
      <c r="A5" s="3" t="s">
        <v>22</v>
      </c>
      <c r="B5" s="3" t="s">
        <v>23</v>
      </c>
      <c r="C5" s="4">
        <v>13000</v>
      </c>
      <c r="D5" s="4">
        <v>7463</v>
      </c>
      <c r="E5" s="3">
        <v>198</v>
      </c>
      <c r="F5" s="3" t="s">
        <v>15</v>
      </c>
      <c r="G5" s="4">
        <f>SUM(C5,D5,E5)</f>
        <v>20661</v>
      </c>
    </row>
    <row r="6" spans="1:7" ht="18" thickBot="1" x14ac:dyDescent="0.3">
      <c r="A6" s="3" t="s">
        <v>4</v>
      </c>
      <c r="B6" s="3" t="s">
        <v>5</v>
      </c>
      <c r="C6" s="4">
        <v>5611</v>
      </c>
      <c r="D6" s="4">
        <v>35524</v>
      </c>
      <c r="E6" s="3">
        <v>20</v>
      </c>
      <c r="F6" s="3" t="s">
        <v>6</v>
      </c>
      <c r="G6" s="4">
        <f>SUM(C6,D6,E6)</f>
        <v>41155</v>
      </c>
    </row>
    <row r="7" spans="1:7" ht="18" thickBot="1" x14ac:dyDescent="0.3">
      <c r="A7" s="3" t="s">
        <v>18</v>
      </c>
      <c r="B7" s="3" t="s">
        <v>19</v>
      </c>
      <c r="C7" s="4">
        <v>6400</v>
      </c>
      <c r="D7" s="4">
        <v>40850</v>
      </c>
      <c r="E7" s="3">
        <v>166</v>
      </c>
      <c r="F7" s="3" t="s">
        <v>15</v>
      </c>
      <c r="G7" s="4">
        <f>SUM(C7,D7,E7)</f>
        <v>47416</v>
      </c>
    </row>
    <row r="8" spans="1:7" ht="18" thickBot="1" x14ac:dyDescent="0.3">
      <c r="A8" s="1" t="s">
        <v>27</v>
      </c>
      <c r="B8" s="1" t="s">
        <v>28</v>
      </c>
      <c r="C8" s="2">
        <v>5000</v>
      </c>
      <c r="D8" s="2">
        <v>114295</v>
      </c>
      <c r="E8" s="1">
        <v>12</v>
      </c>
      <c r="F8" s="1" t="s">
        <v>15</v>
      </c>
      <c r="G8" s="4">
        <f>SUM(C8,D8,E8)</f>
        <v>119307</v>
      </c>
    </row>
    <row r="9" spans="1:7" ht="18" thickBot="1" x14ac:dyDescent="0.3">
      <c r="A9" s="1" t="s">
        <v>20</v>
      </c>
      <c r="B9" s="1" t="s">
        <v>21</v>
      </c>
      <c r="C9" s="2">
        <v>14400</v>
      </c>
      <c r="D9" s="2">
        <v>185682</v>
      </c>
      <c r="E9" s="2">
        <v>4041</v>
      </c>
      <c r="F9" s="1" t="s">
        <v>15</v>
      </c>
      <c r="G9" s="4">
        <f>SUM(C9,D9,E9)</f>
        <v>204123</v>
      </c>
    </row>
    <row r="10" spans="1:7" ht="18" thickBot="1" x14ac:dyDescent="0.3">
      <c r="A10" s="3" t="s">
        <v>25</v>
      </c>
      <c r="B10" s="3" t="s">
        <v>26</v>
      </c>
      <c r="C10" s="3" t="s">
        <v>6</v>
      </c>
      <c r="D10" s="4">
        <v>227708</v>
      </c>
      <c r="E10" s="3" t="s">
        <v>15</v>
      </c>
      <c r="F10" s="3" t="s">
        <v>15</v>
      </c>
      <c r="G10" s="4">
        <f>SUM(C10,D10,E10)</f>
        <v>227708</v>
      </c>
    </row>
    <row r="11" spans="1:7" ht="18" thickBot="1" x14ac:dyDescent="0.3">
      <c r="A11" s="3" t="s">
        <v>13</v>
      </c>
      <c r="B11" s="3" t="s">
        <v>14</v>
      </c>
      <c r="C11" s="4">
        <v>263000</v>
      </c>
      <c r="D11" s="3" t="s">
        <v>6</v>
      </c>
      <c r="E11" s="3" t="s">
        <v>6</v>
      </c>
      <c r="F11" s="3" t="s">
        <v>15</v>
      </c>
      <c r="G11" s="4">
        <f>SUM(C11,D11,E11)</f>
        <v>263000</v>
      </c>
    </row>
    <row r="12" spans="1:7" ht="18" thickBot="1" x14ac:dyDescent="0.3">
      <c r="A12" s="1" t="s">
        <v>11</v>
      </c>
      <c r="B12" s="1" t="s">
        <v>12</v>
      </c>
      <c r="C12" s="2">
        <v>8607</v>
      </c>
      <c r="D12" s="2">
        <v>267602</v>
      </c>
      <c r="E12" s="1">
        <v>126</v>
      </c>
      <c r="F12" s="1" t="s">
        <v>6</v>
      </c>
      <c r="G12" s="4">
        <f>SUM(C12,D12,E12)</f>
        <v>276335</v>
      </c>
    </row>
    <row r="13" spans="1:7" ht="18" thickBot="1" x14ac:dyDescent="0.3">
      <c r="A13" s="1" t="s">
        <v>16</v>
      </c>
      <c r="B13" s="1" t="s">
        <v>17</v>
      </c>
      <c r="C13" s="1" t="s">
        <v>6</v>
      </c>
      <c r="D13" s="2">
        <v>344816</v>
      </c>
      <c r="E13" s="1" t="s">
        <v>6</v>
      </c>
      <c r="F13" s="2">
        <v>2074</v>
      </c>
      <c r="G13" s="4">
        <f>SUM(C13,D13,E13)</f>
        <v>344816</v>
      </c>
    </row>
    <row r="14" spans="1:7" ht="18" thickBot="1" x14ac:dyDescent="0.3">
      <c r="A14" s="3" t="s">
        <v>29</v>
      </c>
      <c r="B14" s="3" t="s">
        <v>30</v>
      </c>
      <c r="C14" s="4">
        <v>2000</v>
      </c>
      <c r="D14" s="4">
        <v>643510</v>
      </c>
      <c r="E14" s="4">
        <v>5719</v>
      </c>
      <c r="F14" s="3">
        <v>886</v>
      </c>
      <c r="G14" s="4">
        <f>SUM(C14,D14,E14)</f>
        <v>651229</v>
      </c>
    </row>
    <row r="15" spans="1:7" ht="18" thickBot="1" x14ac:dyDescent="0.3">
      <c r="A15" s="1" t="s">
        <v>0</v>
      </c>
      <c r="B15" s="1" t="s">
        <v>1</v>
      </c>
      <c r="C15" s="1" t="s">
        <v>2</v>
      </c>
      <c r="D15" s="2">
        <v>818311</v>
      </c>
      <c r="E15" s="1" t="s">
        <v>3</v>
      </c>
      <c r="F15" s="2">
        <v>2793</v>
      </c>
      <c r="G15" s="4">
        <f>SUM(C15,D15,E15)</f>
        <v>818311</v>
      </c>
    </row>
  </sheetData>
  <sortState xmlns:xlrd2="http://schemas.microsoft.com/office/spreadsheetml/2017/richdata2" ref="A2:G18">
    <sortCondition ref="G1:G18"/>
  </sortState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34e81e9-21cf-4812-bc3e-6b5b7e8606c4}" enabled="1" method="Privileged" siteId="{7f5b8731-2dc2-4c09-82f4-89a5fc0544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Fulmer</dc:creator>
  <cp:lastModifiedBy>Lucas Fulmer</cp:lastModifiedBy>
  <dcterms:created xsi:type="dcterms:W3CDTF">2025-11-07T22:06:03Z</dcterms:created>
  <dcterms:modified xsi:type="dcterms:W3CDTF">2025-11-07T22:14:44Z</dcterms:modified>
</cp:coreProperties>
</file>